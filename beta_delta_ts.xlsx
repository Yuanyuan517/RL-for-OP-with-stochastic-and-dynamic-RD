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yuanyuanli/Documents/study/essec/Research/RAM_ideas?/OR/VRP_RD/Meeting39/"/>
    </mc:Choice>
  </mc:AlternateContent>
  <xr:revisionPtr revIDLastSave="0" documentId="13_ncr:40009_{921AD432-7CCC-414A-AEB7-E2761EA9EF40}" xr6:coauthVersionLast="36" xr6:coauthVersionMax="36" xr10:uidLastSave="{00000000-0000-0000-0000-000000000000}"/>
  <bookViews>
    <workbookView xWindow="8240" yWindow="1980" windowWidth="26840" windowHeight="14820"/>
  </bookViews>
  <sheets>
    <sheet name="beta_delta_ts" sheetId="1" r:id="rId1"/>
  </sheets>
  <calcPr calcId="18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T51" i="1" l="1"/>
  <c r="M51" i="1"/>
  <c r="N51" i="1"/>
  <c r="O51" i="1"/>
  <c r="P51" i="1"/>
  <c r="Q51" i="1"/>
  <c r="R51" i="1"/>
  <c r="S51" i="1"/>
  <c r="E51" i="1"/>
  <c r="F51" i="1"/>
  <c r="G51" i="1"/>
  <c r="H51" i="1"/>
  <c r="I51" i="1"/>
  <c r="J51" i="1"/>
  <c r="K51" i="1"/>
  <c r="L51" i="1"/>
  <c r="D51" i="1"/>
  <c r="P50" i="1"/>
  <c r="Q50" i="1"/>
  <c r="R50" i="1"/>
  <c r="S50" i="1"/>
  <c r="T50" i="1"/>
  <c r="E50" i="1"/>
  <c r="F50" i="1"/>
  <c r="G50" i="1"/>
  <c r="H50" i="1"/>
  <c r="I50" i="1"/>
  <c r="J50" i="1"/>
  <c r="K50" i="1"/>
  <c r="L50" i="1"/>
  <c r="M50" i="1"/>
  <c r="N50" i="1"/>
  <c r="O50" i="1"/>
  <c r="D50" i="1"/>
  <c r="T49" i="1"/>
  <c r="L49" i="1"/>
  <c r="M49" i="1"/>
  <c r="N49" i="1"/>
  <c r="O49" i="1"/>
  <c r="P49" i="1"/>
  <c r="Q49" i="1"/>
  <c r="R49" i="1"/>
  <c r="S49" i="1"/>
  <c r="E49" i="1"/>
  <c r="F49" i="1"/>
  <c r="G49" i="1"/>
  <c r="H49" i="1"/>
  <c r="I49" i="1"/>
  <c r="J49" i="1"/>
  <c r="K49" i="1"/>
  <c r="D49" i="1"/>
  <c r="O44" i="1"/>
  <c r="P44" i="1"/>
  <c r="Q44" i="1"/>
  <c r="R44" i="1"/>
  <c r="S44" i="1"/>
  <c r="T44" i="1"/>
  <c r="E44" i="1"/>
  <c r="F44" i="1"/>
  <c r="G44" i="1"/>
  <c r="H44" i="1"/>
  <c r="I44" i="1"/>
  <c r="J44" i="1"/>
  <c r="K44" i="1"/>
  <c r="L44" i="1"/>
  <c r="M44" i="1"/>
  <c r="N44" i="1"/>
  <c r="D44" i="1"/>
  <c r="T39" i="1"/>
  <c r="M39" i="1"/>
  <c r="N39" i="1"/>
  <c r="O39" i="1"/>
  <c r="P39" i="1"/>
  <c r="Q39" i="1"/>
  <c r="R39" i="1"/>
  <c r="S39" i="1"/>
  <c r="E39" i="1"/>
  <c r="F39" i="1"/>
  <c r="G39" i="1"/>
  <c r="H39" i="1"/>
  <c r="I39" i="1"/>
  <c r="J39" i="1"/>
  <c r="K39" i="1"/>
  <c r="L39" i="1"/>
  <c r="D39" i="1"/>
  <c r="P34" i="1"/>
  <c r="Q34" i="1"/>
  <c r="R34" i="1"/>
  <c r="S34" i="1"/>
  <c r="T34" i="1"/>
  <c r="E34" i="1"/>
  <c r="F34" i="1"/>
  <c r="G34" i="1"/>
  <c r="H34" i="1"/>
  <c r="I34" i="1"/>
  <c r="J34" i="1"/>
  <c r="K34" i="1"/>
  <c r="L34" i="1"/>
  <c r="M34" i="1"/>
  <c r="N34" i="1"/>
  <c r="O34" i="1"/>
  <c r="D34" i="1"/>
  <c r="R33" i="1"/>
  <c r="S33" i="1"/>
  <c r="T33" i="1"/>
  <c r="N33" i="1"/>
  <c r="O33" i="1"/>
  <c r="P33" i="1"/>
  <c r="Q33" i="1"/>
  <c r="E33" i="1"/>
  <c r="F33" i="1"/>
  <c r="G33" i="1"/>
  <c r="H33" i="1"/>
  <c r="I33" i="1"/>
  <c r="J33" i="1"/>
  <c r="K33" i="1"/>
  <c r="L33" i="1"/>
  <c r="M33" i="1"/>
  <c r="D33" i="1"/>
  <c r="T28" i="1"/>
  <c r="P28" i="1"/>
  <c r="Q28" i="1"/>
  <c r="R28" i="1"/>
  <c r="S28" i="1"/>
  <c r="J28" i="1"/>
  <c r="K28" i="1"/>
  <c r="L28" i="1"/>
  <c r="M28" i="1"/>
  <c r="N28" i="1"/>
  <c r="O28" i="1"/>
  <c r="E28" i="1"/>
  <c r="F28" i="1"/>
  <c r="G28" i="1"/>
  <c r="H28" i="1"/>
  <c r="I28" i="1"/>
  <c r="D28" i="1"/>
  <c r="M23" i="1"/>
  <c r="N23" i="1"/>
  <c r="O23" i="1"/>
  <c r="P23" i="1"/>
  <c r="Q23" i="1"/>
  <c r="R23" i="1"/>
  <c r="S23" i="1"/>
  <c r="T23" i="1"/>
  <c r="E23" i="1"/>
  <c r="F23" i="1"/>
  <c r="G23" i="1"/>
  <c r="H23" i="1"/>
  <c r="I23" i="1"/>
  <c r="J23" i="1"/>
  <c r="K23" i="1"/>
  <c r="L23" i="1"/>
  <c r="D23" i="1"/>
  <c r="O18" i="1"/>
  <c r="P18" i="1"/>
  <c r="Q18" i="1"/>
  <c r="R18" i="1"/>
  <c r="S18" i="1"/>
  <c r="T18" i="1"/>
  <c r="E18" i="1"/>
  <c r="F18" i="1"/>
  <c r="G18" i="1"/>
  <c r="H18" i="1"/>
  <c r="I18" i="1"/>
  <c r="J18" i="1"/>
  <c r="K18" i="1"/>
  <c r="L18" i="1"/>
  <c r="M18" i="1"/>
  <c r="N18" i="1"/>
  <c r="D18" i="1"/>
  <c r="T17" i="1"/>
  <c r="P17" i="1"/>
  <c r="Q17" i="1"/>
  <c r="R17" i="1"/>
  <c r="S17" i="1"/>
  <c r="E17" i="1"/>
  <c r="F17" i="1"/>
  <c r="G17" i="1"/>
  <c r="H17" i="1"/>
  <c r="I17" i="1"/>
  <c r="J17" i="1"/>
  <c r="K17" i="1"/>
  <c r="L17" i="1"/>
  <c r="M17" i="1"/>
  <c r="N17" i="1"/>
  <c r="O17" i="1"/>
  <c r="D17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E12" i="1"/>
  <c r="F12" i="1"/>
  <c r="G12" i="1"/>
  <c r="D12" i="1"/>
  <c r="P7" i="1"/>
  <c r="Q7" i="1"/>
  <c r="R7" i="1"/>
  <c r="S7" i="1"/>
  <c r="T7" i="1"/>
  <c r="E7" i="1"/>
  <c r="F7" i="1"/>
  <c r="G7" i="1"/>
  <c r="H7" i="1"/>
  <c r="I7" i="1"/>
  <c r="J7" i="1"/>
  <c r="K7" i="1"/>
  <c r="L7" i="1"/>
  <c r="M7" i="1"/>
  <c r="N7" i="1"/>
  <c r="O7" i="1"/>
  <c r="D7" i="1"/>
</calcChain>
</file>

<file path=xl/sharedStrings.xml><?xml version="1.0" encoding="utf-8"?>
<sst xmlns="http://purl.oclc.org/ooxml/spreadsheetml/main" count="37" uniqueCount="13">
  <si>
    <t>beta</t>
  </si>
  <si>
    <t>delta</t>
  </si>
  <si>
    <t>c</t>
  </si>
  <si>
    <t>#instances</t>
  </si>
  <si>
    <t>VFA</t>
  </si>
  <si>
    <t>PFA</t>
  </si>
  <si>
    <t>MH</t>
  </si>
  <si>
    <t>ME</t>
  </si>
  <si>
    <t>gap[%]</t>
  </si>
  <si>
    <t>gap_ub[%]</t>
  </si>
  <si>
    <t>t[s]</t>
  </si>
  <si>
    <t>freq</t>
  </si>
  <si>
    <t>AVG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</si>
</sst>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8" fontId="1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T51"/>
  <sheetViews>
    <sheetView tabSelected="1" workbookViewId="0">
      <selection activeCell="K12" sqref="K12"/>
    </sheetView>
  </sheetViews>
  <sheetFormatPr baseColWidth="10" defaultRowHeight="16"/>
  <cols>
    <col min="1" max="4" width="10.83203125" style="1"/>
    <col min="5" max="7" width="10.83203125" style="8"/>
    <col min="8" max="8" width="10.83203125" style="10"/>
    <col min="9" max="11" width="10.83203125" style="8"/>
    <col min="12" max="12" width="10.83203125" style="10"/>
    <col min="13" max="15" width="10.83203125" style="8"/>
    <col min="16" max="16" width="10.83203125" style="10"/>
    <col min="17" max="19" width="10.83203125" style="8"/>
    <col min="20" max="20" width="10.83203125" style="10"/>
    <col min="21" max="16384" width="10.83203125" style="1"/>
  </cols>
  <sheetData>
    <row r="1" spans="1:20" s="4" customFormat="1" ht="19">
      <c r="E1" s="5" t="s">
        <v>4</v>
      </c>
      <c r="F1" s="5"/>
      <c r="G1" s="5"/>
      <c r="H1" s="5"/>
      <c r="I1" s="5" t="s">
        <v>5</v>
      </c>
      <c r="J1" s="5"/>
      <c r="K1" s="5"/>
      <c r="L1" s="5"/>
      <c r="M1" s="6" t="s">
        <v>6</v>
      </c>
      <c r="N1" s="6"/>
      <c r="O1" s="6"/>
      <c r="P1" s="6"/>
      <c r="Q1" s="6" t="s">
        <v>7</v>
      </c>
      <c r="R1" s="6"/>
      <c r="S1" s="6"/>
      <c r="T1" s="6"/>
    </row>
    <row r="2" spans="1:20" s="3" customFormat="1">
      <c r="A2" s="3" t="s">
        <v>0</v>
      </c>
      <c r="B2" s="3" t="s">
        <v>1</v>
      </c>
      <c r="C2" s="3" t="s">
        <v>2</v>
      </c>
      <c r="D2" s="3" t="s">
        <v>3</v>
      </c>
      <c r="E2" s="7" t="s">
        <v>8</v>
      </c>
      <c r="F2" s="7" t="s">
        <v>9</v>
      </c>
      <c r="G2" s="7" t="s">
        <v>10</v>
      </c>
      <c r="H2" s="9" t="s">
        <v>11</v>
      </c>
      <c r="I2" s="7" t="s">
        <v>8</v>
      </c>
      <c r="J2" s="7" t="s">
        <v>9</v>
      </c>
      <c r="K2" s="7" t="s">
        <v>10</v>
      </c>
      <c r="L2" s="9" t="s">
        <v>11</v>
      </c>
      <c r="M2" s="7" t="s">
        <v>8</v>
      </c>
      <c r="N2" s="7" t="s">
        <v>9</v>
      </c>
      <c r="O2" s="7" t="s">
        <v>10</v>
      </c>
      <c r="P2" s="9" t="s">
        <v>11</v>
      </c>
      <c r="Q2" s="7" t="s">
        <v>8</v>
      </c>
      <c r="R2" s="7" t="s">
        <v>9</v>
      </c>
      <c r="S2" s="7" t="s">
        <v>10</v>
      </c>
      <c r="T2" s="9" t="s">
        <v>11</v>
      </c>
    </row>
    <row r="3" spans="1:20">
      <c r="A3" s="2">
        <v>0.5</v>
      </c>
      <c r="B3" s="1">
        <v>0</v>
      </c>
      <c r="C3" s="1">
        <v>0.6</v>
      </c>
      <c r="D3" s="1">
        <v>20</v>
      </c>
      <c r="E3" s="8">
        <v>2.2023809523809499</v>
      </c>
      <c r="F3" s="8">
        <v>20.427849311478901</v>
      </c>
      <c r="G3" s="8">
        <v>51.024000000000001</v>
      </c>
      <c r="H3" s="10">
        <v>2.8</v>
      </c>
      <c r="I3" s="8">
        <v>1.78571428571428</v>
      </c>
      <c r="J3" s="8">
        <v>20.147473383434601</v>
      </c>
      <c r="K3" s="8">
        <v>73.212500000000006</v>
      </c>
      <c r="L3" s="10">
        <v>3</v>
      </c>
      <c r="M3" s="8">
        <v>23.041125541125499</v>
      </c>
      <c r="N3" s="8">
        <v>38.203142943158099</v>
      </c>
      <c r="O3" s="8">
        <v>0.191</v>
      </c>
      <c r="P3" s="10">
        <v>0</v>
      </c>
      <c r="Q3" s="8">
        <v>2.65151515151515</v>
      </c>
      <c r="R3" s="8">
        <v>20.275317555889899</v>
      </c>
      <c r="S3" s="8">
        <v>0.67149999999999999</v>
      </c>
      <c r="T3" s="10">
        <v>3</v>
      </c>
    </row>
    <row r="4" spans="1:20">
      <c r="A4" s="2"/>
      <c r="B4" s="1">
        <v>0</v>
      </c>
      <c r="C4" s="1">
        <v>0.8</v>
      </c>
      <c r="D4" s="1">
        <v>20</v>
      </c>
      <c r="E4" s="8">
        <v>4.1666666666666599</v>
      </c>
      <c r="F4" s="8">
        <v>24.1709670784326</v>
      </c>
      <c r="G4" s="8">
        <v>43.790499999999902</v>
      </c>
      <c r="H4" s="10">
        <v>3</v>
      </c>
      <c r="I4" s="8">
        <v>4.1666666666666599</v>
      </c>
      <c r="J4" s="8">
        <v>24.1709670784326</v>
      </c>
      <c r="K4" s="8">
        <v>61.713499999999897</v>
      </c>
      <c r="L4" s="10">
        <v>3</v>
      </c>
      <c r="M4" s="8">
        <v>33.5416666666666</v>
      </c>
      <c r="N4" s="8">
        <v>47.270808544910302</v>
      </c>
      <c r="O4" s="8">
        <v>0.192</v>
      </c>
      <c r="P4" s="10">
        <v>0</v>
      </c>
      <c r="Q4" s="8">
        <v>21.4583333333333</v>
      </c>
      <c r="R4" s="8">
        <v>37.822878370522503</v>
      </c>
      <c r="S4" s="8">
        <v>15.0395</v>
      </c>
      <c r="T4" s="10">
        <v>1</v>
      </c>
    </row>
    <row r="5" spans="1:20">
      <c r="A5" s="2"/>
      <c r="B5" s="1">
        <v>0</v>
      </c>
      <c r="C5" s="1">
        <v>1</v>
      </c>
      <c r="D5" s="1">
        <v>20</v>
      </c>
      <c r="E5" s="8">
        <v>0</v>
      </c>
      <c r="F5" s="8">
        <v>25.8123455474731</v>
      </c>
      <c r="G5" s="8">
        <v>56.492999999999903</v>
      </c>
      <c r="H5" s="10">
        <v>4</v>
      </c>
      <c r="I5" s="8">
        <v>0</v>
      </c>
      <c r="J5" s="8">
        <v>25.8123455474731</v>
      </c>
      <c r="K5" s="8">
        <v>73.524000000000001</v>
      </c>
      <c r="L5" s="10">
        <v>4</v>
      </c>
      <c r="M5" s="8">
        <v>32.8584721729883</v>
      </c>
      <c r="N5" s="8">
        <v>50.324437225857501</v>
      </c>
      <c r="O5" s="8">
        <v>0.19350000000000001</v>
      </c>
      <c r="P5" s="10">
        <v>0</v>
      </c>
      <c r="Q5" s="8">
        <v>22.1619106699751</v>
      </c>
      <c r="R5" s="8">
        <v>42.551561824748603</v>
      </c>
      <c r="S5" s="8">
        <v>150.7765</v>
      </c>
      <c r="T5" s="10">
        <v>1</v>
      </c>
    </row>
    <row r="6" spans="1:20">
      <c r="A6" s="2"/>
      <c r="B6" s="1">
        <v>0</v>
      </c>
      <c r="C6" s="1">
        <v>1.2</v>
      </c>
      <c r="D6" s="1">
        <v>20</v>
      </c>
      <c r="E6" s="8">
        <v>0.64102564102564197</v>
      </c>
      <c r="F6" s="8">
        <v>27.045229822582201</v>
      </c>
      <c r="G6" s="8">
        <v>56.903999999999897</v>
      </c>
      <c r="H6" s="10">
        <v>3</v>
      </c>
      <c r="I6" s="8">
        <v>0</v>
      </c>
      <c r="J6" s="8">
        <v>26.527427692605901</v>
      </c>
      <c r="K6" s="8">
        <v>75.162999999999997</v>
      </c>
      <c r="L6" s="10">
        <v>4</v>
      </c>
      <c r="M6" s="8">
        <v>28.904061624649799</v>
      </c>
      <c r="N6" s="8">
        <v>48.189912663157003</v>
      </c>
      <c r="O6" s="8">
        <v>0.214499999999999</v>
      </c>
      <c r="P6" s="10">
        <v>0</v>
      </c>
      <c r="Q6" s="8">
        <v>16.152903469079899</v>
      </c>
      <c r="R6" s="8">
        <v>39.055464899142699</v>
      </c>
      <c r="S6" s="8">
        <v>117.628999999999</v>
      </c>
      <c r="T6" s="10">
        <v>1</v>
      </c>
    </row>
    <row r="7" spans="1:20" s="3" customFormat="1">
      <c r="A7" s="2"/>
      <c r="C7" s="3" t="s">
        <v>12</v>
      </c>
      <c r="D7" s="3">
        <f>AVERAGE(D3:D6)</f>
        <v>20</v>
      </c>
      <c r="E7" s="7">
        <f t="shared" ref="E7:O7" si="0">AVERAGE(E3:E6)</f>
        <v>1.752518315018313</v>
      </c>
      <c r="F7" s="7">
        <f t="shared" si="0"/>
        <v>24.364097939991701</v>
      </c>
      <c r="G7" s="7">
        <f t="shared" si="0"/>
        <v>52.052874999999929</v>
      </c>
      <c r="H7" s="7">
        <f t="shared" si="0"/>
        <v>3.2</v>
      </c>
      <c r="I7" s="7">
        <f t="shared" si="0"/>
        <v>1.488095238095235</v>
      </c>
      <c r="J7" s="7">
        <f t="shared" si="0"/>
        <v>24.164553425486549</v>
      </c>
      <c r="K7" s="7">
        <f t="shared" si="0"/>
        <v>70.903249999999971</v>
      </c>
      <c r="L7" s="7">
        <f t="shared" si="0"/>
        <v>3.5</v>
      </c>
      <c r="M7" s="7">
        <f t="shared" si="0"/>
        <v>29.586331501357549</v>
      </c>
      <c r="N7" s="7">
        <f t="shared" si="0"/>
        <v>45.997075344270726</v>
      </c>
      <c r="O7" s="7">
        <f t="shared" si="0"/>
        <v>0.19774999999999976</v>
      </c>
      <c r="P7" s="7">
        <f>AVERAGE(P3:P6)</f>
        <v>0</v>
      </c>
      <c r="Q7" s="7">
        <f t="shared" ref="Q7" si="1">AVERAGE(Q3:Q6)</f>
        <v>15.606165655975861</v>
      </c>
      <c r="R7" s="7">
        <f t="shared" ref="R7" si="2">AVERAGE(R3:R6)</f>
        <v>34.926305662575928</v>
      </c>
      <c r="S7" s="7">
        <f t="shared" ref="S7" si="3">AVERAGE(S3:S6)</f>
        <v>71.029124999999752</v>
      </c>
      <c r="T7" s="7">
        <f t="shared" ref="T7" si="4">AVERAGE(T3:T6)</f>
        <v>1.5</v>
      </c>
    </row>
    <row r="8" spans="1:20">
      <c r="A8" s="2"/>
      <c r="B8" s="1">
        <v>0.5</v>
      </c>
      <c r="C8" s="1">
        <v>0.6</v>
      </c>
      <c r="D8" s="1">
        <v>20</v>
      </c>
      <c r="E8" s="8">
        <v>12.596629677512</v>
      </c>
      <c r="F8" s="8">
        <v>27.538183861878501</v>
      </c>
      <c r="G8" s="8">
        <v>50.106999999999999</v>
      </c>
      <c r="H8" s="10">
        <v>1.8</v>
      </c>
      <c r="I8" s="8">
        <v>12.596629677512</v>
      </c>
      <c r="J8" s="8">
        <v>27.538183861878501</v>
      </c>
      <c r="K8" s="8">
        <v>65.292000000000002</v>
      </c>
      <c r="L8" s="10">
        <v>1.8</v>
      </c>
      <c r="M8" s="8">
        <v>16.296025225204701</v>
      </c>
      <c r="N8" s="8">
        <v>29.0951962003764</v>
      </c>
      <c r="O8" s="8">
        <v>0.1875</v>
      </c>
      <c r="P8" s="10">
        <v>0.8</v>
      </c>
      <c r="Q8" s="8">
        <v>4.8268436929427603</v>
      </c>
      <c r="R8" s="8">
        <v>19.339787179848098</v>
      </c>
      <c r="S8" s="8">
        <v>14.6554999999999</v>
      </c>
      <c r="T8" s="10">
        <v>2.6</v>
      </c>
    </row>
    <row r="9" spans="1:20">
      <c r="A9" s="2"/>
      <c r="B9" s="1">
        <v>0.5</v>
      </c>
      <c r="C9" s="1">
        <v>0.8</v>
      </c>
      <c r="D9" s="1">
        <v>20</v>
      </c>
      <c r="E9" s="8">
        <v>4.8977942347507497</v>
      </c>
      <c r="F9" s="8">
        <v>24.431574053348498</v>
      </c>
      <c r="G9" s="8">
        <v>61.092499999999902</v>
      </c>
      <c r="H9" s="10">
        <v>2.8</v>
      </c>
      <c r="I9" s="8">
        <v>4.4166666666666599</v>
      </c>
      <c r="J9" s="8">
        <v>24.076546684601201</v>
      </c>
      <c r="K9" s="8">
        <v>83.283000000000001</v>
      </c>
      <c r="L9" s="10">
        <v>3.2</v>
      </c>
      <c r="M9" s="8">
        <v>24.113024513625199</v>
      </c>
      <c r="N9" s="8">
        <v>38.1461607606401</v>
      </c>
      <c r="O9" s="8">
        <v>0.20649999999999999</v>
      </c>
      <c r="P9" s="10">
        <v>0.6</v>
      </c>
      <c r="Q9" s="8">
        <v>17.945329227937901</v>
      </c>
      <c r="R9" s="8">
        <v>33.159767672287799</v>
      </c>
      <c r="S9" s="8">
        <v>33.975499999999997</v>
      </c>
      <c r="T9" s="10">
        <v>1.2</v>
      </c>
    </row>
    <row r="10" spans="1:20">
      <c r="A10" s="2"/>
      <c r="B10" s="1">
        <v>0.5</v>
      </c>
      <c r="C10" s="1">
        <v>1</v>
      </c>
      <c r="D10" s="1">
        <v>20</v>
      </c>
      <c r="E10" s="8">
        <v>1.1620553359683701</v>
      </c>
      <c r="F10" s="8">
        <v>23.3090061202515</v>
      </c>
      <c r="G10" s="8">
        <v>63.891999999999904</v>
      </c>
      <c r="H10" s="10">
        <v>3.4</v>
      </c>
      <c r="I10" s="8">
        <v>1.03571428571428</v>
      </c>
      <c r="J10" s="8">
        <v>23.209959897896901</v>
      </c>
      <c r="K10" s="8">
        <v>104.41</v>
      </c>
      <c r="L10" s="10">
        <v>3.4</v>
      </c>
      <c r="M10" s="8">
        <v>29.439884346259301</v>
      </c>
      <c r="N10" s="8">
        <v>45.047229087517401</v>
      </c>
      <c r="O10" s="8">
        <v>0.19699999999999901</v>
      </c>
      <c r="P10" s="10">
        <v>0</v>
      </c>
      <c r="Q10" s="8">
        <v>20.4894259391879</v>
      </c>
      <c r="R10" s="8">
        <v>37.965190555742801</v>
      </c>
      <c r="S10" s="8">
        <v>21.3795</v>
      </c>
      <c r="T10" s="10">
        <v>1</v>
      </c>
    </row>
    <row r="11" spans="1:20">
      <c r="A11" s="2"/>
      <c r="B11" s="1">
        <v>0.5</v>
      </c>
      <c r="C11" s="1">
        <v>1.2</v>
      </c>
      <c r="D11" s="1">
        <v>20</v>
      </c>
      <c r="E11" s="8">
        <v>1.3251351331846599</v>
      </c>
      <c r="F11" s="8">
        <v>23.505896590327701</v>
      </c>
      <c r="G11" s="8">
        <v>74.668499999999995</v>
      </c>
      <c r="H11" s="10">
        <v>3</v>
      </c>
      <c r="I11" s="8">
        <v>1.2905938586519301</v>
      </c>
      <c r="J11" s="8">
        <v>23.451826863816699</v>
      </c>
      <c r="K11" s="8">
        <v>111.917</v>
      </c>
      <c r="L11" s="10">
        <v>2.8</v>
      </c>
      <c r="M11" s="8">
        <v>27.258103464332699</v>
      </c>
      <c r="N11" s="8">
        <v>43.591623686527498</v>
      </c>
      <c r="O11" s="8">
        <v>0.19800000000000001</v>
      </c>
      <c r="P11" s="10">
        <v>0</v>
      </c>
      <c r="Q11" s="8">
        <v>15.851412233484901</v>
      </c>
      <c r="R11" s="8">
        <v>34.711662652063303</v>
      </c>
      <c r="S11" s="8">
        <v>30.267499999999899</v>
      </c>
      <c r="T11" s="10">
        <v>0.6</v>
      </c>
    </row>
    <row r="12" spans="1:20" s="3" customFormat="1">
      <c r="A12" s="2"/>
      <c r="C12" s="3" t="s">
        <v>12</v>
      </c>
      <c r="D12" s="3">
        <f>AVERAGE(D8:D11)</f>
        <v>20</v>
      </c>
      <c r="E12" s="7">
        <f t="shared" ref="E12:G12" si="5">AVERAGE(E8:E11)</f>
        <v>4.9954035953539453</v>
      </c>
      <c r="F12" s="7">
        <f t="shared" si="5"/>
        <v>24.696165156451549</v>
      </c>
      <c r="G12" s="7">
        <f t="shared" si="5"/>
        <v>62.439999999999948</v>
      </c>
      <c r="H12" s="7">
        <f t="shared" ref="H12" si="6">AVERAGE(H8:H11)</f>
        <v>2.75</v>
      </c>
      <c r="I12" s="7">
        <f t="shared" ref="I12" si="7">AVERAGE(I8:I11)</f>
        <v>4.8349011221362179</v>
      </c>
      <c r="J12" s="7">
        <f t="shared" ref="J12" si="8">AVERAGE(J8:J11)</f>
        <v>24.56912932704833</v>
      </c>
      <c r="K12" s="7">
        <f t="shared" ref="K12" si="9">AVERAGE(K8:K11)</f>
        <v>91.225499999999997</v>
      </c>
      <c r="L12" s="7">
        <f t="shared" ref="L12" si="10">AVERAGE(L8:L11)</f>
        <v>2.8</v>
      </c>
      <c r="M12" s="7">
        <f t="shared" ref="M12" si="11">AVERAGE(M8:M11)</f>
        <v>24.276759387355476</v>
      </c>
      <c r="N12" s="7">
        <f t="shared" ref="N12" si="12">AVERAGE(N8:N11)</f>
        <v>38.970052433765346</v>
      </c>
      <c r="O12" s="7">
        <f t="shared" ref="O12" si="13">AVERAGE(O8:O11)</f>
        <v>0.19724999999999976</v>
      </c>
      <c r="P12" s="7">
        <f t="shared" ref="P12" si="14">AVERAGE(P8:P11)</f>
        <v>0.35</v>
      </c>
      <c r="Q12" s="7">
        <f t="shared" ref="Q12" si="15">AVERAGE(Q8:Q11)</f>
        <v>14.778252773388365</v>
      </c>
      <c r="R12" s="7">
        <f t="shared" ref="R12" si="16">AVERAGE(R8:R11)</f>
        <v>31.294102014985498</v>
      </c>
      <c r="S12" s="7">
        <f t="shared" ref="S12" si="17">AVERAGE(S8:S11)</f>
        <v>25.069499999999948</v>
      </c>
      <c r="T12" s="7">
        <f t="shared" ref="T12" si="18">AVERAGE(T8:T11)</f>
        <v>1.3499999999999999</v>
      </c>
    </row>
    <row r="13" spans="1:20">
      <c r="A13" s="2"/>
      <c r="B13" s="1">
        <v>1</v>
      </c>
      <c r="C13" s="1">
        <v>0.6</v>
      </c>
      <c r="D13" s="1">
        <v>20</v>
      </c>
      <c r="E13" s="8">
        <v>11.613275613275601</v>
      </c>
      <c r="F13" s="8">
        <v>27.17363325258</v>
      </c>
      <c r="G13" s="8">
        <v>59.733999999999902</v>
      </c>
      <c r="H13" s="10">
        <v>2.6</v>
      </c>
      <c r="I13" s="8">
        <v>12.1542112857902</v>
      </c>
      <c r="J13" s="8">
        <v>27.574834570897401</v>
      </c>
      <c r="K13" s="8">
        <v>68.130499999999998</v>
      </c>
      <c r="L13" s="10">
        <v>2.2000000000000002</v>
      </c>
      <c r="M13" s="8">
        <v>27.126324913476601</v>
      </c>
      <c r="N13" s="8">
        <v>38.654558369716</v>
      </c>
      <c r="O13" s="8">
        <v>0.1845</v>
      </c>
      <c r="P13" s="10">
        <v>0.4</v>
      </c>
      <c r="Q13" s="8">
        <v>13.913063909774401</v>
      </c>
      <c r="R13" s="8">
        <v>27.403109821691899</v>
      </c>
      <c r="S13" s="8">
        <v>36.777999999999999</v>
      </c>
      <c r="T13" s="10">
        <v>2</v>
      </c>
    </row>
    <row r="14" spans="1:20">
      <c r="A14" s="2"/>
      <c r="B14" s="1">
        <v>1</v>
      </c>
      <c r="C14" s="1">
        <v>0.8</v>
      </c>
      <c r="D14" s="1">
        <v>20</v>
      </c>
      <c r="E14" s="8">
        <v>2.5056159420289799</v>
      </c>
      <c r="F14" s="8">
        <v>21.215208203854498</v>
      </c>
      <c r="G14" s="8">
        <v>70.882999999999996</v>
      </c>
      <c r="H14" s="10">
        <v>2.6</v>
      </c>
      <c r="I14" s="8">
        <v>0.72313843078460704</v>
      </c>
      <c r="J14" s="8">
        <v>19.781632518780501</v>
      </c>
      <c r="K14" s="8">
        <v>637.24450000000002</v>
      </c>
      <c r="L14" s="10">
        <v>3.4</v>
      </c>
      <c r="M14" s="8">
        <v>31.1701519880856</v>
      </c>
      <c r="N14" s="8">
        <v>44.243531681309797</v>
      </c>
      <c r="O14" s="8">
        <v>0.1905</v>
      </c>
      <c r="P14" s="10">
        <v>0.2</v>
      </c>
      <c r="Q14" s="8">
        <v>22.5058652734627</v>
      </c>
      <c r="R14" s="8">
        <v>37.272579455948403</v>
      </c>
      <c r="S14" s="8">
        <v>56.293499999999902</v>
      </c>
      <c r="T14" s="10">
        <v>1</v>
      </c>
    </row>
    <row r="15" spans="1:20">
      <c r="A15" s="2"/>
      <c r="B15" s="1">
        <v>1</v>
      </c>
      <c r="C15" s="1">
        <v>1</v>
      </c>
      <c r="D15" s="1">
        <v>20</v>
      </c>
      <c r="E15" s="8">
        <v>0.65591397849462296</v>
      </c>
      <c r="F15" s="8">
        <v>23.996812801305801</v>
      </c>
      <c r="G15" s="8">
        <v>109.01900000000001</v>
      </c>
      <c r="H15" s="10">
        <v>3.4</v>
      </c>
      <c r="I15" s="8">
        <v>0.42857142857142799</v>
      </c>
      <c r="J15" s="8">
        <v>23.8656390164894</v>
      </c>
      <c r="K15" s="8">
        <v>191.83750000000001</v>
      </c>
      <c r="L15" s="10">
        <v>3.8</v>
      </c>
      <c r="M15" s="8">
        <v>28.561924376791101</v>
      </c>
      <c r="N15" s="8">
        <v>45.5331266162815</v>
      </c>
      <c r="O15" s="8">
        <v>0.20949999999999899</v>
      </c>
      <c r="P15" s="10">
        <v>0</v>
      </c>
      <c r="Q15" s="8">
        <v>19.604709666771299</v>
      </c>
      <c r="R15" s="8">
        <v>38.675383210637001</v>
      </c>
      <c r="S15" s="8">
        <v>66.868499999999997</v>
      </c>
      <c r="T15" s="10">
        <v>0.6</v>
      </c>
    </row>
    <row r="16" spans="1:20">
      <c r="A16" s="2"/>
      <c r="B16" s="1">
        <v>1</v>
      </c>
      <c r="C16" s="1">
        <v>1.2</v>
      </c>
      <c r="D16" s="1">
        <v>20</v>
      </c>
      <c r="E16" s="8">
        <v>1.0944180406422901</v>
      </c>
      <c r="F16" s="8">
        <v>21.881065890152001</v>
      </c>
      <c r="G16" s="8">
        <v>155.65299999999999</v>
      </c>
      <c r="H16" s="10">
        <v>3</v>
      </c>
      <c r="I16" s="8">
        <v>0.119047619047618</v>
      </c>
      <c r="J16" s="8">
        <v>21.088720375562801</v>
      </c>
      <c r="K16" s="8">
        <v>209.202</v>
      </c>
      <c r="L16" s="10">
        <v>3.8</v>
      </c>
      <c r="M16" s="8">
        <v>27.304052807254301</v>
      </c>
      <c r="N16" s="8">
        <v>42.719417911476498</v>
      </c>
      <c r="O16" s="8">
        <v>0.21299999999999999</v>
      </c>
      <c r="P16" s="10">
        <v>0</v>
      </c>
      <c r="Q16" s="8">
        <v>17.0926586828725</v>
      </c>
      <c r="R16" s="8">
        <v>34.5122680403503</v>
      </c>
      <c r="S16" s="8">
        <v>65.635499999999993</v>
      </c>
      <c r="T16" s="10">
        <v>0</v>
      </c>
    </row>
    <row r="17" spans="1:20" s="3" customFormat="1">
      <c r="A17" s="2"/>
      <c r="C17" s="3" t="s">
        <v>12</v>
      </c>
      <c r="D17" s="3">
        <f>AVERAGE(D13:D16)</f>
        <v>20</v>
      </c>
      <c r="E17" s="7">
        <f t="shared" ref="E17:O17" si="19">AVERAGE(E13:E16)</f>
        <v>3.9673058936103733</v>
      </c>
      <c r="F17" s="7">
        <f t="shared" si="19"/>
        <v>23.566680036973075</v>
      </c>
      <c r="G17" s="7">
        <f t="shared" si="19"/>
        <v>98.822249999999968</v>
      </c>
      <c r="H17" s="7">
        <f t="shared" si="19"/>
        <v>2.9</v>
      </c>
      <c r="I17" s="7">
        <f t="shared" si="19"/>
        <v>3.3562421910484637</v>
      </c>
      <c r="J17" s="7">
        <f t="shared" si="19"/>
        <v>23.077706620432526</v>
      </c>
      <c r="K17" s="7">
        <f t="shared" si="19"/>
        <v>276.60362499999997</v>
      </c>
      <c r="L17" s="7">
        <f t="shared" si="19"/>
        <v>3.3</v>
      </c>
      <c r="M17" s="7">
        <f t="shared" si="19"/>
        <v>28.540613521401902</v>
      </c>
      <c r="N17" s="7">
        <f t="shared" si="19"/>
        <v>42.787658644695952</v>
      </c>
      <c r="O17" s="7">
        <f t="shared" si="19"/>
        <v>0.19937499999999975</v>
      </c>
      <c r="P17" s="7">
        <f>AVERAGE(P13:P16)</f>
        <v>0.15000000000000002</v>
      </c>
      <c r="Q17" s="7">
        <f t="shared" ref="Q17" si="20">AVERAGE(Q13:Q16)</f>
        <v>18.279074383220223</v>
      </c>
      <c r="R17" s="7">
        <f t="shared" ref="R17" si="21">AVERAGE(R13:R16)</f>
        <v>34.465835132156904</v>
      </c>
      <c r="S17" s="7">
        <f t="shared" ref="S17" si="22">AVERAGE(S13:S16)</f>
        <v>56.393874999999966</v>
      </c>
      <c r="T17" s="7">
        <f>AVERAGE(T13:T16)</f>
        <v>0.9</v>
      </c>
    </row>
    <row r="18" spans="1:20" s="3" customFormat="1">
      <c r="A18" s="2"/>
      <c r="B18" s="3" t="s">
        <v>12</v>
      </c>
      <c r="D18" s="3">
        <f>AVERAGE(D7,D12,D17)</f>
        <v>20</v>
      </c>
      <c r="E18" s="7">
        <f t="shared" ref="E18:N18" si="23">AVERAGE(E7,E12,E17)</f>
        <v>3.5717426013275442</v>
      </c>
      <c r="F18" s="7">
        <f t="shared" si="23"/>
        <v>24.208981044472107</v>
      </c>
      <c r="G18" s="7">
        <f t="shared" si="23"/>
        <v>71.105041666666622</v>
      </c>
      <c r="H18" s="7">
        <f t="shared" si="23"/>
        <v>2.9499999999999997</v>
      </c>
      <c r="I18" s="7">
        <f t="shared" si="23"/>
        <v>3.2264128504266392</v>
      </c>
      <c r="J18" s="7">
        <f t="shared" si="23"/>
        <v>23.937129790989133</v>
      </c>
      <c r="K18" s="7">
        <f t="shared" si="23"/>
        <v>146.24412499999997</v>
      </c>
      <c r="L18" s="7">
        <f t="shared" si="23"/>
        <v>3.1999999999999997</v>
      </c>
      <c r="M18" s="7">
        <f t="shared" si="23"/>
        <v>27.46790147003831</v>
      </c>
      <c r="N18" s="7">
        <f t="shared" si="23"/>
        <v>42.584928807577342</v>
      </c>
      <c r="O18" s="7">
        <f>AVERAGE(O7,O12,O17)</f>
        <v>0.19812499999999975</v>
      </c>
      <c r="P18" s="7">
        <f t="shared" ref="P18" si="24">AVERAGE(P7,P12,P17)</f>
        <v>0.16666666666666666</v>
      </c>
      <c r="Q18" s="7">
        <f t="shared" ref="Q18" si="25">AVERAGE(Q7,Q12,Q17)</f>
        <v>16.221164270861482</v>
      </c>
      <c r="R18" s="7">
        <f t="shared" ref="R18" si="26">AVERAGE(R7,R12,R17)</f>
        <v>33.562080936572777</v>
      </c>
      <c r="S18" s="7">
        <f t="shared" ref="S18" si="27">AVERAGE(S7,S12,S17)</f>
        <v>50.830833333333224</v>
      </c>
      <c r="T18" s="7">
        <f t="shared" ref="T18" si="28">AVERAGE(T7,T12,T17)</f>
        <v>1.2499999999999998</v>
      </c>
    </row>
    <row r="19" spans="1:20">
      <c r="A19" s="2">
        <v>1</v>
      </c>
      <c r="B19" s="1">
        <v>0</v>
      </c>
      <c r="C19" s="1">
        <v>0.6</v>
      </c>
      <c r="D19" s="1">
        <v>20</v>
      </c>
      <c r="E19" s="8">
        <v>0</v>
      </c>
      <c r="F19" s="8">
        <v>37.219375278876399</v>
      </c>
      <c r="G19" s="8">
        <v>86.84</v>
      </c>
      <c r="H19" s="10">
        <v>4</v>
      </c>
      <c r="I19" s="8">
        <v>2.0978835978835901</v>
      </c>
      <c r="J19" s="8">
        <v>38.4552176130059</v>
      </c>
      <c r="K19" s="8">
        <v>109.7705</v>
      </c>
      <c r="L19" s="10">
        <v>2</v>
      </c>
      <c r="M19" s="8">
        <v>27.351037851037798</v>
      </c>
      <c r="N19" s="8">
        <v>54.601092638785602</v>
      </c>
      <c r="O19" s="8">
        <v>0.19850000000000001</v>
      </c>
      <c r="P19" s="10">
        <v>0</v>
      </c>
      <c r="Q19" s="8">
        <v>15.158221408221401</v>
      </c>
      <c r="R19" s="8">
        <v>47.352829347695497</v>
      </c>
      <c r="S19" s="8">
        <v>41.795000000000002</v>
      </c>
      <c r="T19" s="10">
        <v>1</v>
      </c>
    </row>
    <row r="20" spans="1:20">
      <c r="A20" s="2"/>
      <c r="B20" s="1">
        <v>0</v>
      </c>
      <c r="C20" s="1">
        <v>0.8</v>
      </c>
      <c r="D20" s="1">
        <v>20</v>
      </c>
      <c r="E20" s="8">
        <v>4.03661726242371</v>
      </c>
      <c r="F20" s="8">
        <v>25.606076446413901</v>
      </c>
      <c r="G20" s="8">
        <v>102.535</v>
      </c>
      <c r="H20" s="10">
        <v>2.2000000000000002</v>
      </c>
      <c r="I20" s="8">
        <v>0.13157894736842099</v>
      </c>
      <c r="J20" s="8">
        <v>22.705896413783901</v>
      </c>
      <c r="K20" s="8">
        <v>120.545499999999</v>
      </c>
      <c r="L20" s="10">
        <v>3.8</v>
      </c>
      <c r="M20" s="8">
        <v>22.408571559675099</v>
      </c>
      <c r="N20" s="8">
        <v>39.739769845007302</v>
      </c>
      <c r="O20" s="8">
        <v>0.217499999999999</v>
      </c>
      <c r="P20" s="10">
        <v>0</v>
      </c>
      <c r="Q20" s="8">
        <v>10.1840040379938</v>
      </c>
      <c r="R20" s="8">
        <v>30.2167631620256</v>
      </c>
      <c r="S20" s="8">
        <v>251.07900000000001</v>
      </c>
      <c r="T20" s="10">
        <v>1</v>
      </c>
    </row>
    <row r="21" spans="1:20">
      <c r="A21" s="2"/>
      <c r="B21" s="1">
        <v>0</v>
      </c>
      <c r="C21" s="1">
        <v>1</v>
      </c>
      <c r="D21" s="1">
        <v>20</v>
      </c>
      <c r="E21" s="8">
        <v>2.2165697674418601</v>
      </c>
      <c r="F21" s="8">
        <v>11.6290693599099</v>
      </c>
      <c r="G21" s="8">
        <v>63.613500000000002</v>
      </c>
      <c r="H21" s="10">
        <v>2.6</v>
      </c>
      <c r="I21" s="8">
        <v>0.624999999999999</v>
      </c>
      <c r="J21" s="8">
        <v>10.200497931338401</v>
      </c>
      <c r="K21" s="8">
        <v>75.647000000000006</v>
      </c>
      <c r="L21" s="10">
        <v>3</v>
      </c>
      <c r="M21" s="8">
        <v>12.5448145351007</v>
      </c>
      <c r="N21" s="8">
        <v>20.926184939690199</v>
      </c>
      <c r="O21" s="8">
        <v>0.23050000000000001</v>
      </c>
      <c r="P21" s="10">
        <v>0</v>
      </c>
      <c r="Q21" s="8">
        <v>3.8213885778275398</v>
      </c>
      <c r="R21" s="8">
        <v>12.730507602027</v>
      </c>
      <c r="S21" s="8">
        <v>154.00449999999901</v>
      </c>
      <c r="T21" s="10">
        <v>2</v>
      </c>
    </row>
    <row r="22" spans="1:20">
      <c r="A22" s="2"/>
      <c r="B22" s="1">
        <v>0</v>
      </c>
      <c r="C22" s="1">
        <v>1.2</v>
      </c>
      <c r="D22" s="1">
        <v>20</v>
      </c>
      <c r="E22" s="8">
        <v>2.6041666666666599</v>
      </c>
      <c r="F22" s="8">
        <v>5</v>
      </c>
      <c r="G22" s="8">
        <v>69.531999999999996</v>
      </c>
      <c r="H22" s="10">
        <v>2</v>
      </c>
      <c r="I22" s="8">
        <v>3.125</v>
      </c>
      <c r="J22" s="8">
        <v>5.5</v>
      </c>
      <c r="K22" s="8">
        <v>84.199499999999901</v>
      </c>
      <c r="L22" s="10">
        <v>2</v>
      </c>
      <c r="M22" s="8">
        <v>3.09353741496599</v>
      </c>
      <c r="N22" s="8">
        <v>5.5</v>
      </c>
      <c r="O22" s="8">
        <v>0.22700000000000001</v>
      </c>
      <c r="P22" s="10">
        <v>0</v>
      </c>
      <c r="Q22" s="8">
        <v>0</v>
      </c>
      <c r="R22" s="8">
        <v>2.5</v>
      </c>
      <c r="S22" s="8">
        <v>1.0620000000000001</v>
      </c>
      <c r="T22" s="10">
        <v>4</v>
      </c>
    </row>
    <row r="23" spans="1:20" s="3" customFormat="1">
      <c r="A23" s="2"/>
      <c r="C23" s="3" t="s">
        <v>12</v>
      </c>
      <c r="D23" s="3">
        <f>AVERAGE(D19:D22)</f>
        <v>20</v>
      </c>
      <c r="E23" s="7">
        <f t="shared" ref="E23:L23" si="29">AVERAGE(E19:E22)</f>
        <v>2.2143384241330573</v>
      </c>
      <c r="F23" s="7">
        <f t="shared" si="29"/>
        <v>19.86363027130005</v>
      </c>
      <c r="G23" s="7">
        <f t="shared" si="29"/>
        <v>80.630124999999992</v>
      </c>
      <c r="H23" s="7">
        <f t="shared" si="29"/>
        <v>2.7</v>
      </c>
      <c r="I23" s="7">
        <f t="shared" si="29"/>
        <v>1.4948656363130026</v>
      </c>
      <c r="J23" s="7">
        <f t="shared" si="29"/>
        <v>19.215402989532052</v>
      </c>
      <c r="K23" s="7">
        <f t="shared" si="29"/>
        <v>97.540624999999721</v>
      </c>
      <c r="L23" s="7">
        <f t="shared" si="29"/>
        <v>2.7</v>
      </c>
      <c r="M23" s="7">
        <f>AVERAGE(M19:M22)</f>
        <v>16.349490340194897</v>
      </c>
      <c r="N23" s="7">
        <f t="shared" ref="N23" si="30">AVERAGE(N19:N22)</f>
        <v>30.191761855870777</v>
      </c>
      <c r="O23" s="7">
        <f t="shared" ref="O23" si="31">AVERAGE(O19:O22)</f>
        <v>0.21837499999999976</v>
      </c>
      <c r="P23" s="7">
        <f t="shared" ref="P23" si="32">AVERAGE(P19:P22)</f>
        <v>0</v>
      </c>
      <c r="Q23" s="7">
        <f t="shared" ref="Q23" si="33">AVERAGE(Q19:Q22)</f>
        <v>7.2909035060106859</v>
      </c>
      <c r="R23" s="7">
        <f t="shared" ref="R23" si="34">AVERAGE(R19:R22)</f>
        <v>23.200025027937027</v>
      </c>
      <c r="S23" s="7">
        <f t="shared" ref="S23" si="35">AVERAGE(S19:S22)</f>
        <v>111.98512499999975</v>
      </c>
      <c r="T23" s="7">
        <f t="shared" ref="T23" si="36">AVERAGE(T19:T22)</f>
        <v>2</v>
      </c>
    </row>
    <row r="24" spans="1:20">
      <c r="A24" s="2"/>
      <c r="B24" s="1">
        <v>0.5</v>
      </c>
      <c r="C24" s="1">
        <v>0.6</v>
      </c>
      <c r="D24" s="1">
        <v>20</v>
      </c>
      <c r="E24" s="8">
        <v>0.40204678362572999</v>
      </c>
      <c r="F24" s="8">
        <v>35.485644766108202</v>
      </c>
      <c r="G24" s="8">
        <v>74.573999999999998</v>
      </c>
      <c r="H24" s="10">
        <v>3.6</v>
      </c>
      <c r="I24" s="8">
        <v>0.89285714285714202</v>
      </c>
      <c r="J24" s="8">
        <v>35.751912217111403</v>
      </c>
      <c r="K24" s="8">
        <v>92.287499999999994</v>
      </c>
      <c r="L24" s="10">
        <v>3.6</v>
      </c>
      <c r="M24" s="8">
        <v>26.8645537973341</v>
      </c>
      <c r="N24" s="8">
        <v>52.646277003811299</v>
      </c>
      <c r="O24" s="8">
        <v>0.214499999999999</v>
      </c>
      <c r="P24" s="10">
        <v>0</v>
      </c>
      <c r="Q24" s="8">
        <v>16.850924575466902</v>
      </c>
      <c r="R24" s="8">
        <v>46.727088580995002</v>
      </c>
      <c r="S24" s="8">
        <v>36.512</v>
      </c>
      <c r="T24" s="10">
        <v>0.2</v>
      </c>
    </row>
    <row r="25" spans="1:20">
      <c r="A25" s="2"/>
      <c r="B25" s="1">
        <v>0.5</v>
      </c>
      <c r="C25" s="1">
        <v>0.8</v>
      </c>
      <c r="D25" s="1">
        <v>20</v>
      </c>
      <c r="E25" s="8">
        <v>1.8583912696815901</v>
      </c>
      <c r="F25" s="8">
        <v>29.1111407497214</v>
      </c>
      <c r="G25" s="8">
        <v>85.975499999999997</v>
      </c>
      <c r="H25" s="10">
        <v>2.6</v>
      </c>
      <c r="I25" s="8">
        <v>1.97199350828383</v>
      </c>
      <c r="J25" s="8">
        <v>29.206096028976699</v>
      </c>
      <c r="K25" s="8">
        <v>95.57</v>
      </c>
      <c r="L25" s="10">
        <v>2.6</v>
      </c>
      <c r="M25" s="8">
        <v>22.5840609499975</v>
      </c>
      <c r="N25" s="8">
        <v>43.517871040103202</v>
      </c>
      <c r="O25" s="8">
        <v>0.2145</v>
      </c>
      <c r="P25" s="10">
        <v>0.2</v>
      </c>
      <c r="Q25" s="8">
        <v>11.243742923347</v>
      </c>
      <c r="R25" s="8">
        <v>35.480219063984499</v>
      </c>
      <c r="S25" s="8">
        <v>165.73650000000001</v>
      </c>
      <c r="T25" s="10">
        <v>0.8</v>
      </c>
    </row>
    <row r="26" spans="1:20">
      <c r="A26" s="2"/>
      <c r="B26" s="1">
        <v>0.5</v>
      </c>
      <c r="C26" s="1">
        <v>1</v>
      </c>
      <c r="D26" s="1">
        <v>20</v>
      </c>
      <c r="E26" s="8">
        <v>2.3912378686773299</v>
      </c>
      <c r="F26" s="8">
        <v>15.792078735514901</v>
      </c>
      <c r="G26" s="8">
        <v>73.948999999999998</v>
      </c>
      <c r="H26" s="10">
        <v>2.6</v>
      </c>
      <c r="I26" s="8">
        <v>2.6484704734709199</v>
      </c>
      <c r="J26" s="8">
        <v>16.0050348894335</v>
      </c>
      <c r="K26" s="8">
        <v>86.921000000000006</v>
      </c>
      <c r="L26" s="10">
        <v>2.2000000000000002</v>
      </c>
      <c r="M26" s="8">
        <v>13.107435969541299</v>
      </c>
      <c r="N26" s="8">
        <v>24.437047895794599</v>
      </c>
      <c r="O26" s="8">
        <v>0.221</v>
      </c>
      <c r="P26" s="10">
        <v>0.8</v>
      </c>
      <c r="Q26" s="8">
        <v>4.7732058666322299</v>
      </c>
      <c r="R26" s="8">
        <v>17.720084621543801</v>
      </c>
      <c r="S26" s="8">
        <v>135.09350000000001</v>
      </c>
      <c r="T26" s="10">
        <v>1.8</v>
      </c>
    </row>
    <row r="27" spans="1:20">
      <c r="A27" s="2"/>
      <c r="B27" s="1">
        <v>0.5</v>
      </c>
      <c r="C27" s="1">
        <v>1.2</v>
      </c>
      <c r="D27" s="1">
        <v>20</v>
      </c>
      <c r="E27" s="8">
        <v>1.19014961935094</v>
      </c>
      <c r="F27" s="8">
        <v>7.8</v>
      </c>
      <c r="G27" s="8">
        <v>63.527500000000003</v>
      </c>
      <c r="H27" s="10">
        <v>2.6</v>
      </c>
      <c r="I27" s="8">
        <v>0.83342379504993502</v>
      </c>
      <c r="J27" s="8">
        <v>7.5</v>
      </c>
      <c r="K27" s="8">
        <v>71.704999999999998</v>
      </c>
      <c r="L27" s="10">
        <v>3</v>
      </c>
      <c r="M27" s="8">
        <v>5.5626413999534297</v>
      </c>
      <c r="N27" s="8">
        <v>11.5</v>
      </c>
      <c r="O27" s="8">
        <v>0.23449999999999899</v>
      </c>
      <c r="P27" s="10">
        <v>1.4</v>
      </c>
      <c r="Q27" s="8">
        <v>1.5307133342847601</v>
      </c>
      <c r="R27" s="8">
        <v>8</v>
      </c>
      <c r="S27" s="8">
        <v>62.459499999999998</v>
      </c>
      <c r="T27" s="10">
        <v>2.8</v>
      </c>
    </row>
    <row r="28" spans="1:20" s="3" customFormat="1">
      <c r="A28" s="2"/>
      <c r="C28" s="3" t="s">
        <v>12</v>
      </c>
      <c r="D28" s="3">
        <f>AVERAGE(D24:D27)</f>
        <v>20</v>
      </c>
      <c r="E28" s="7">
        <f t="shared" ref="E28:I28" si="37">AVERAGE(E24:E27)</f>
        <v>1.4604563853338974</v>
      </c>
      <c r="F28" s="7">
        <f t="shared" si="37"/>
        <v>22.047216062836124</v>
      </c>
      <c r="G28" s="7">
        <f t="shared" si="37"/>
        <v>74.506499999999988</v>
      </c>
      <c r="H28" s="7">
        <f t="shared" si="37"/>
        <v>2.85</v>
      </c>
      <c r="I28" s="7">
        <f t="shared" si="37"/>
        <v>1.5866862299154567</v>
      </c>
      <c r="J28" s="7">
        <f>AVERAGE(J24:J27)</f>
        <v>22.1157607838804</v>
      </c>
      <c r="K28" s="7">
        <f t="shared" ref="K28" si="38">AVERAGE(K24:K27)</f>
        <v>86.620874999999998</v>
      </c>
      <c r="L28" s="7">
        <f t="shared" ref="L28" si="39">AVERAGE(L24:L27)</f>
        <v>2.85</v>
      </c>
      <c r="M28" s="7">
        <f t="shared" ref="M28" si="40">AVERAGE(M24:M27)</f>
        <v>17.029673029206585</v>
      </c>
      <c r="N28" s="7">
        <f t="shared" ref="N28" si="41">AVERAGE(N24:N27)</f>
        <v>33.025298984927275</v>
      </c>
      <c r="O28" s="7">
        <f t="shared" ref="O28" si="42">AVERAGE(O24:O27)</f>
        <v>0.22112499999999952</v>
      </c>
      <c r="P28" s="7">
        <f>AVERAGE(P24:P27)</f>
        <v>0.6</v>
      </c>
      <c r="Q28" s="7">
        <f t="shared" ref="Q28" si="43">AVERAGE(Q24:Q27)</f>
        <v>8.5996466749327229</v>
      </c>
      <c r="R28" s="7">
        <f t="shared" ref="R28" si="44">AVERAGE(R24:R27)</f>
        <v>26.981848066630825</v>
      </c>
      <c r="S28" s="7">
        <f t="shared" ref="S28" si="45">AVERAGE(S24:S27)</f>
        <v>99.950374999999994</v>
      </c>
      <c r="T28" s="7">
        <f>AVERAGE(T24:T27)</f>
        <v>1.4</v>
      </c>
    </row>
    <row r="29" spans="1:20">
      <c r="A29" s="2"/>
      <c r="B29" s="1">
        <v>1</v>
      </c>
      <c r="C29" s="1">
        <v>0.6</v>
      </c>
      <c r="D29" s="1">
        <v>20</v>
      </c>
      <c r="E29" s="8">
        <v>2.3149683549913198</v>
      </c>
      <c r="F29" s="8">
        <v>30.3732747808975</v>
      </c>
      <c r="G29" s="8">
        <v>97.216999999999999</v>
      </c>
      <c r="H29" s="10">
        <v>2.8</v>
      </c>
      <c r="I29" s="8">
        <v>1.39481055580126</v>
      </c>
      <c r="J29" s="8">
        <v>29.736084070642399</v>
      </c>
      <c r="K29" s="8">
        <v>116.0645</v>
      </c>
      <c r="L29" s="10">
        <v>3</v>
      </c>
      <c r="M29" s="8">
        <v>27.601756851841099</v>
      </c>
      <c r="N29" s="8">
        <v>48.530628204412103</v>
      </c>
      <c r="O29" s="8">
        <v>0.19599999999999901</v>
      </c>
      <c r="P29" s="10">
        <v>0</v>
      </c>
      <c r="Q29" s="8">
        <v>13.199304615635199</v>
      </c>
      <c r="R29" s="8">
        <v>38.453988235411401</v>
      </c>
      <c r="S29" s="8">
        <v>103.89149999999999</v>
      </c>
      <c r="T29" s="10">
        <v>0.8</v>
      </c>
    </row>
    <row r="30" spans="1:20">
      <c r="A30" s="2"/>
      <c r="B30" s="1">
        <v>1</v>
      </c>
      <c r="C30" s="1">
        <v>0.8</v>
      </c>
      <c r="D30" s="1">
        <v>20</v>
      </c>
      <c r="E30" s="8">
        <v>2.7876506032586801</v>
      </c>
      <c r="F30" s="8">
        <v>19.969745045583299</v>
      </c>
      <c r="G30" s="8">
        <v>76.129499999999993</v>
      </c>
      <c r="H30" s="10">
        <v>2.6</v>
      </c>
      <c r="I30" s="8">
        <v>2.5836614030118601</v>
      </c>
      <c r="J30" s="8">
        <v>19.763447100873499</v>
      </c>
      <c r="K30" s="8">
        <v>86.676999999999893</v>
      </c>
      <c r="L30" s="10">
        <v>2</v>
      </c>
      <c r="M30" s="8">
        <v>16.833555804416498</v>
      </c>
      <c r="N30" s="8">
        <v>30.731358075071</v>
      </c>
      <c r="O30" s="8">
        <v>0.20499999999999999</v>
      </c>
      <c r="P30" s="10">
        <v>0</v>
      </c>
      <c r="Q30" s="8">
        <v>6.9925999506260403</v>
      </c>
      <c r="R30" s="8">
        <v>22.873442870646901</v>
      </c>
      <c r="S30" s="8">
        <v>111.6725</v>
      </c>
      <c r="T30" s="10">
        <v>2</v>
      </c>
    </row>
    <row r="31" spans="1:20">
      <c r="A31" s="2"/>
      <c r="B31" s="1">
        <v>1</v>
      </c>
      <c r="C31" s="1">
        <v>1</v>
      </c>
      <c r="D31" s="1">
        <v>20</v>
      </c>
      <c r="E31" s="8">
        <v>2.0827399072534099</v>
      </c>
      <c r="F31" s="8">
        <v>10.3664563789561</v>
      </c>
      <c r="G31" s="8">
        <v>62.238500000000002</v>
      </c>
      <c r="H31" s="10">
        <v>1.8</v>
      </c>
      <c r="I31" s="8">
        <v>1.5398133158598</v>
      </c>
      <c r="J31" s="8">
        <v>9.9354448833410398</v>
      </c>
      <c r="K31" s="8">
        <v>65.474499999999907</v>
      </c>
      <c r="L31" s="10">
        <v>2.4</v>
      </c>
      <c r="M31" s="8">
        <v>9.1879272407430594</v>
      </c>
      <c r="N31" s="8">
        <v>15.906256702021601</v>
      </c>
      <c r="O31" s="8">
        <v>0.22850000000000001</v>
      </c>
      <c r="P31" s="10">
        <v>0.2</v>
      </c>
      <c r="Q31" s="8">
        <v>3.8117909168899602</v>
      </c>
      <c r="R31" s="8">
        <v>11.450897252720999</v>
      </c>
      <c r="S31" s="8">
        <v>74.433000000000007</v>
      </c>
      <c r="T31" s="10">
        <v>2.8</v>
      </c>
    </row>
    <row r="32" spans="1:20">
      <c r="A32" s="2"/>
      <c r="B32" s="1">
        <v>1</v>
      </c>
      <c r="C32" s="1">
        <v>1.2</v>
      </c>
      <c r="D32" s="1">
        <v>20</v>
      </c>
      <c r="E32" s="8">
        <v>1.1791406754710101</v>
      </c>
      <c r="F32" s="8">
        <v>5.1535598705501604</v>
      </c>
      <c r="G32" s="8">
        <v>63.057000000000002</v>
      </c>
      <c r="H32" s="10">
        <v>3.2</v>
      </c>
      <c r="I32" s="8">
        <v>0.753608760577401</v>
      </c>
      <c r="J32" s="8">
        <v>4.75355987055016</v>
      </c>
      <c r="K32" s="8">
        <v>65.751499999999993</v>
      </c>
      <c r="L32" s="10">
        <v>3.4</v>
      </c>
      <c r="M32" s="8">
        <v>4.0678531713671404</v>
      </c>
      <c r="N32" s="8">
        <v>7.6671521035598698</v>
      </c>
      <c r="O32" s="8">
        <v>0.23250000000000001</v>
      </c>
      <c r="P32" s="10">
        <v>1.8</v>
      </c>
      <c r="Q32" s="8">
        <v>1.3258951738453499</v>
      </c>
      <c r="R32" s="8">
        <v>5.2648867313915799</v>
      </c>
      <c r="S32" s="8">
        <v>32.070499999999903</v>
      </c>
      <c r="T32" s="10">
        <v>3.6</v>
      </c>
    </row>
    <row r="33" spans="1:20" s="3" customFormat="1">
      <c r="A33" s="2"/>
      <c r="C33" s="3" t="s">
        <v>12</v>
      </c>
      <c r="D33" s="3">
        <f>AVERAGE(D29:D32)</f>
        <v>20</v>
      </c>
      <c r="E33" s="7">
        <f t="shared" ref="E33:M33" si="46">AVERAGE(E29:E32)</f>
        <v>2.0911248852436053</v>
      </c>
      <c r="F33" s="7">
        <f t="shared" si="46"/>
        <v>16.465759018996764</v>
      </c>
      <c r="G33" s="7">
        <f t="shared" si="46"/>
        <v>74.660499999999999</v>
      </c>
      <c r="H33" s="7">
        <f t="shared" si="46"/>
        <v>2.6</v>
      </c>
      <c r="I33" s="7">
        <f t="shared" si="46"/>
        <v>1.5679735088125804</v>
      </c>
      <c r="J33" s="7">
        <f t="shared" si="46"/>
        <v>16.047133981351774</v>
      </c>
      <c r="K33" s="7">
        <f t="shared" si="46"/>
        <v>83.491874999999936</v>
      </c>
      <c r="L33" s="7">
        <f t="shared" si="46"/>
        <v>2.7</v>
      </c>
      <c r="M33" s="7">
        <f t="shared" si="46"/>
        <v>14.422773267091948</v>
      </c>
      <c r="N33" s="7">
        <f>AVERAGE(N29:N32)</f>
        <v>25.708848771266144</v>
      </c>
      <c r="O33" s="7">
        <f t="shared" ref="O33" si="47">AVERAGE(O29:O32)</f>
        <v>0.21549999999999978</v>
      </c>
      <c r="P33" s="7">
        <f t="shared" ref="P33" si="48">AVERAGE(P29:P32)</f>
        <v>0.5</v>
      </c>
      <c r="Q33" s="7">
        <f t="shared" ref="Q33" si="49">AVERAGE(Q29:Q32)</f>
        <v>6.3323976642491377</v>
      </c>
      <c r="R33" s="7">
        <f>AVERAGE(R29:R32)</f>
        <v>19.510803772542722</v>
      </c>
      <c r="S33" s="7">
        <f t="shared" ref="S33" si="50">AVERAGE(S29:S32)</f>
        <v>80.516874999999985</v>
      </c>
      <c r="T33" s="7">
        <f t="shared" ref="T33" si="51">AVERAGE(T29:T32)</f>
        <v>2.2999999999999998</v>
      </c>
    </row>
    <row r="34" spans="1:20" s="3" customFormat="1">
      <c r="A34" s="2"/>
      <c r="B34" s="3" t="s">
        <v>12</v>
      </c>
      <c r="D34" s="3">
        <f>AVERAGE(D23,D28,D33)</f>
        <v>20</v>
      </c>
      <c r="E34" s="7">
        <f t="shared" ref="E34:O34" si="52">AVERAGE(E23,E28,E33)</f>
        <v>1.9219732315701865</v>
      </c>
      <c r="F34" s="7">
        <f t="shared" si="52"/>
        <v>19.458868451044314</v>
      </c>
      <c r="G34" s="7">
        <f t="shared" si="52"/>
        <v>76.599041666666665</v>
      </c>
      <c r="H34" s="7">
        <f t="shared" si="52"/>
        <v>2.7166666666666668</v>
      </c>
      <c r="I34" s="7">
        <f t="shared" si="52"/>
        <v>1.5498417916803466</v>
      </c>
      <c r="J34" s="7">
        <f t="shared" si="52"/>
        <v>19.126099251588077</v>
      </c>
      <c r="K34" s="7">
        <f t="shared" si="52"/>
        <v>89.217791666666542</v>
      </c>
      <c r="L34" s="7">
        <f t="shared" si="52"/>
        <v>2.75</v>
      </c>
      <c r="M34" s="7">
        <f t="shared" si="52"/>
        <v>15.933978878831143</v>
      </c>
      <c r="N34" s="7">
        <f t="shared" si="52"/>
        <v>29.641969870688069</v>
      </c>
      <c r="O34" s="7">
        <f t="shared" si="52"/>
        <v>0.21833333333333302</v>
      </c>
      <c r="P34" s="7">
        <f>AVERAGE(P23,P28,P33)</f>
        <v>0.3666666666666667</v>
      </c>
      <c r="Q34" s="7">
        <f t="shared" ref="Q34" si="53">AVERAGE(Q23,Q28,Q33)</f>
        <v>7.4076492817308486</v>
      </c>
      <c r="R34" s="7">
        <f t="shared" ref="R34" si="54">AVERAGE(R23,R28,R33)</f>
        <v>23.230892289036859</v>
      </c>
      <c r="S34" s="7">
        <f t="shared" ref="S34" si="55">AVERAGE(S23,S28,S33)</f>
        <v>97.484124999999906</v>
      </c>
      <c r="T34" s="7">
        <f t="shared" ref="T34" si="56">AVERAGE(T23,T28,T33)</f>
        <v>1.8999999999999997</v>
      </c>
    </row>
    <row r="35" spans="1:20">
      <c r="A35" s="2">
        <v>1.5</v>
      </c>
      <c r="B35" s="1">
        <v>0</v>
      </c>
      <c r="C35" s="1">
        <v>0.6</v>
      </c>
      <c r="D35" s="1">
        <v>20</v>
      </c>
      <c r="E35" s="8">
        <v>0.83395989974937301</v>
      </c>
      <c r="F35" s="8">
        <v>24.173867880368501</v>
      </c>
      <c r="G35" s="8">
        <v>84.382000000000005</v>
      </c>
      <c r="H35" s="10">
        <v>3</v>
      </c>
      <c r="I35" s="8">
        <v>3.0507857481541598</v>
      </c>
      <c r="J35" s="8">
        <v>25.872734497944201</v>
      </c>
      <c r="K35" s="8">
        <v>87.294999999999902</v>
      </c>
      <c r="L35" s="10">
        <v>1</v>
      </c>
      <c r="M35" s="8">
        <v>21.0920431709905</v>
      </c>
      <c r="N35" s="8">
        <v>39.604086123720897</v>
      </c>
      <c r="O35" s="8">
        <v>0.215499999999999</v>
      </c>
      <c r="P35" s="10">
        <v>0</v>
      </c>
      <c r="Q35" s="8">
        <v>8.0117297748876695</v>
      </c>
      <c r="R35" s="8">
        <v>29.603436906577301</v>
      </c>
      <c r="S35" s="8">
        <v>152.86449999999999</v>
      </c>
      <c r="T35" s="10">
        <v>0.4</v>
      </c>
    </row>
    <row r="36" spans="1:20">
      <c r="A36" s="2"/>
      <c r="B36" s="1">
        <v>0</v>
      </c>
      <c r="C36" s="1">
        <v>0.8</v>
      </c>
      <c r="D36" s="1">
        <v>20</v>
      </c>
      <c r="E36" s="8">
        <v>1.7045454545454499</v>
      </c>
      <c r="F36" s="8">
        <v>5.5752480165242497</v>
      </c>
      <c r="G36" s="8">
        <v>65.066000000000003</v>
      </c>
      <c r="H36" s="10">
        <v>3</v>
      </c>
      <c r="I36" s="8">
        <v>1.7045454545454499</v>
      </c>
      <c r="J36" s="8">
        <v>5.5752480165242497</v>
      </c>
      <c r="K36" s="8">
        <v>62.018499999999896</v>
      </c>
      <c r="L36" s="10">
        <v>3</v>
      </c>
      <c r="M36" s="8">
        <v>7.1455039525691699</v>
      </c>
      <c r="N36" s="8">
        <v>10.718863687373601</v>
      </c>
      <c r="O36" s="8">
        <v>0.23149999999999901</v>
      </c>
      <c r="P36" s="10">
        <v>1</v>
      </c>
      <c r="Q36" s="8">
        <v>1.06431159420289</v>
      </c>
      <c r="R36" s="8">
        <v>5.0462072063454499</v>
      </c>
      <c r="S36" s="8">
        <v>0.48849999999999999</v>
      </c>
      <c r="T36" s="10">
        <v>2</v>
      </c>
    </row>
    <row r="37" spans="1:20">
      <c r="A37" s="2"/>
      <c r="B37" s="1">
        <v>0</v>
      </c>
      <c r="C37" s="1">
        <v>1</v>
      </c>
      <c r="D37" s="1">
        <v>20</v>
      </c>
      <c r="E37" s="8">
        <v>0</v>
      </c>
      <c r="F37" s="8">
        <v>0</v>
      </c>
      <c r="G37" s="8">
        <v>61.103999999999999</v>
      </c>
      <c r="H37" s="10">
        <v>4</v>
      </c>
      <c r="I37" s="8">
        <v>0</v>
      </c>
      <c r="J37" s="8">
        <v>0</v>
      </c>
      <c r="K37" s="8">
        <v>58.869500000000002</v>
      </c>
      <c r="L37" s="10">
        <v>4</v>
      </c>
      <c r="M37" s="8">
        <v>1.53061224489796</v>
      </c>
      <c r="N37" s="8">
        <v>1.53061224489796</v>
      </c>
      <c r="O37" s="8">
        <v>0.26050000000000001</v>
      </c>
      <c r="P37" s="10">
        <v>1</v>
      </c>
      <c r="Q37" s="8">
        <v>0.51020408163265396</v>
      </c>
      <c r="R37" s="8">
        <v>0.51020408163265396</v>
      </c>
      <c r="S37" s="8">
        <v>0.48349999999999999</v>
      </c>
      <c r="T37" s="10">
        <v>3</v>
      </c>
    </row>
    <row r="38" spans="1:20">
      <c r="A38" s="2"/>
      <c r="B38" s="1">
        <v>0</v>
      </c>
      <c r="C38" s="1">
        <v>1.2</v>
      </c>
      <c r="D38" s="1">
        <v>20</v>
      </c>
      <c r="E38" s="8">
        <v>0</v>
      </c>
      <c r="F38" s="8">
        <v>0</v>
      </c>
      <c r="G38" s="8">
        <v>61.411499999999997</v>
      </c>
      <c r="H38" s="10">
        <v>4</v>
      </c>
      <c r="I38" s="8">
        <v>0</v>
      </c>
      <c r="J38" s="8">
        <v>0</v>
      </c>
      <c r="K38" s="8">
        <v>60.825499999999998</v>
      </c>
      <c r="L38" s="10">
        <v>4</v>
      </c>
      <c r="M38" s="8">
        <v>0</v>
      </c>
      <c r="N38" s="8">
        <v>0</v>
      </c>
      <c r="O38" s="8">
        <v>0.24249999999999999</v>
      </c>
      <c r="P38" s="10">
        <v>4</v>
      </c>
      <c r="Q38" s="8">
        <v>0</v>
      </c>
      <c r="R38" s="8">
        <v>0</v>
      </c>
      <c r="S38" s="8">
        <v>0.50249999999999995</v>
      </c>
      <c r="T38" s="10">
        <v>4</v>
      </c>
    </row>
    <row r="39" spans="1:20" s="3" customFormat="1">
      <c r="A39" s="2"/>
      <c r="C39" s="3" t="s">
        <v>12</v>
      </c>
      <c r="D39" s="3">
        <f>AVERAGE(D35:D38)</f>
        <v>20</v>
      </c>
      <c r="E39" s="7">
        <f t="shared" ref="E39:L39" si="57">AVERAGE(E35:E38)</f>
        <v>0.63462633857370576</v>
      </c>
      <c r="F39" s="7">
        <f t="shared" si="57"/>
        <v>7.4372789742231875</v>
      </c>
      <c r="G39" s="7">
        <f t="shared" si="57"/>
        <v>67.990875000000003</v>
      </c>
      <c r="H39" s="7">
        <f t="shared" si="57"/>
        <v>3.5</v>
      </c>
      <c r="I39" s="7">
        <f t="shared" si="57"/>
        <v>1.1888328006749025</v>
      </c>
      <c r="J39" s="7">
        <f t="shared" si="57"/>
        <v>7.8619956286171124</v>
      </c>
      <c r="K39" s="7">
        <f t="shared" si="57"/>
        <v>67.25212499999995</v>
      </c>
      <c r="L39" s="7">
        <f t="shared" si="57"/>
        <v>3</v>
      </c>
      <c r="M39" s="7">
        <f>AVERAGE(M35:M38)</f>
        <v>7.4420398421144078</v>
      </c>
      <c r="N39" s="7">
        <f t="shared" ref="N39" si="58">AVERAGE(N35:N38)</f>
        <v>12.963390513998114</v>
      </c>
      <c r="O39" s="7">
        <f t="shared" ref="O39" si="59">AVERAGE(O35:O38)</f>
        <v>0.23749999999999949</v>
      </c>
      <c r="P39" s="7">
        <f t="shared" ref="P39" si="60">AVERAGE(P35:P38)</f>
        <v>1.5</v>
      </c>
      <c r="Q39" s="7">
        <f t="shared" ref="Q39" si="61">AVERAGE(Q35:Q38)</f>
        <v>2.3965613626808033</v>
      </c>
      <c r="R39" s="7">
        <f t="shared" ref="R39" si="62">AVERAGE(R35:R38)</f>
        <v>8.7899620486388503</v>
      </c>
      <c r="S39" s="7">
        <f t="shared" ref="S39" si="63">AVERAGE(S35:S38)</f>
        <v>38.584749999999993</v>
      </c>
      <c r="T39" s="7">
        <f>AVERAGE(T35:T38)</f>
        <v>2.35</v>
      </c>
    </row>
    <row r="40" spans="1:20">
      <c r="A40" s="2"/>
      <c r="B40" s="1">
        <v>0.5</v>
      </c>
      <c r="C40" s="1">
        <v>0.6</v>
      </c>
      <c r="D40" s="1">
        <v>20</v>
      </c>
      <c r="E40" s="8">
        <v>1.6234662161099001</v>
      </c>
      <c r="F40" s="8">
        <v>30.297405946781801</v>
      </c>
      <c r="G40" s="8">
        <v>82.955500000000001</v>
      </c>
      <c r="H40" s="10">
        <v>3</v>
      </c>
      <c r="I40" s="8">
        <v>2.78247999978006</v>
      </c>
      <c r="J40" s="8">
        <v>31.030785321253401</v>
      </c>
      <c r="K40" s="8">
        <v>88.156499999999994</v>
      </c>
      <c r="L40" s="10">
        <v>2.2000000000000002</v>
      </c>
      <c r="M40" s="8">
        <v>15.3406028383831</v>
      </c>
      <c r="N40" s="8">
        <v>40.783345136973701</v>
      </c>
      <c r="O40" s="8">
        <v>0.20149999999999901</v>
      </c>
      <c r="P40" s="10">
        <v>0.2</v>
      </c>
      <c r="Q40" s="8">
        <v>7.3366758419951301</v>
      </c>
      <c r="R40" s="8">
        <v>35.009293913591698</v>
      </c>
      <c r="S40" s="8">
        <v>12.571</v>
      </c>
      <c r="T40" s="10">
        <v>1.4</v>
      </c>
    </row>
    <row r="41" spans="1:20">
      <c r="A41" s="2"/>
      <c r="B41" s="1">
        <v>0.5</v>
      </c>
      <c r="C41" s="1">
        <v>0.8</v>
      </c>
      <c r="D41" s="1">
        <v>20</v>
      </c>
      <c r="E41" s="8">
        <v>1.8553174381909801</v>
      </c>
      <c r="F41" s="8">
        <v>17.7678797325154</v>
      </c>
      <c r="G41" s="8">
        <v>73.251499999999993</v>
      </c>
      <c r="H41" s="10">
        <v>2</v>
      </c>
      <c r="I41" s="8">
        <v>1.98608394107666</v>
      </c>
      <c r="J41" s="8">
        <v>17.959233460088399</v>
      </c>
      <c r="K41" s="8">
        <v>73.956500000000005</v>
      </c>
      <c r="L41" s="10">
        <v>2.2000000000000002</v>
      </c>
      <c r="M41" s="8">
        <v>9.7935076589630494</v>
      </c>
      <c r="N41" s="8">
        <v>24.287860856362801</v>
      </c>
      <c r="O41" s="8">
        <v>0.21049999999999999</v>
      </c>
      <c r="P41" s="10">
        <v>0</v>
      </c>
      <c r="Q41" s="8">
        <v>2.81238408001798</v>
      </c>
      <c r="R41" s="8">
        <v>18.327026945234</v>
      </c>
      <c r="S41" s="8">
        <v>2.4044999999999899</v>
      </c>
      <c r="T41" s="10">
        <v>1.8</v>
      </c>
    </row>
    <row r="42" spans="1:20">
      <c r="A42" s="2"/>
      <c r="B42" s="1">
        <v>0.5</v>
      </c>
      <c r="C42" s="1">
        <v>1</v>
      </c>
      <c r="D42" s="1">
        <v>20</v>
      </c>
      <c r="E42" s="8">
        <v>1.0749494438827001</v>
      </c>
      <c r="F42" s="8">
        <v>6.2499999999999902</v>
      </c>
      <c r="G42" s="8">
        <v>68.805499999999995</v>
      </c>
      <c r="H42" s="10">
        <v>2.6</v>
      </c>
      <c r="I42" s="8">
        <v>1.2618161223321001</v>
      </c>
      <c r="J42" s="8">
        <v>6.3499149659863896</v>
      </c>
      <c r="K42" s="8">
        <v>67.261499999999998</v>
      </c>
      <c r="L42" s="10">
        <v>2.6</v>
      </c>
      <c r="M42" s="8">
        <v>3.88581167461192</v>
      </c>
      <c r="N42" s="8">
        <v>8.7117346938775508</v>
      </c>
      <c r="O42" s="8">
        <v>0.22999999999999901</v>
      </c>
      <c r="P42" s="10">
        <v>1.4</v>
      </c>
      <c r="Q42" s="8">
        <v>2.1886753404008199</v>
      </c>
      <c r="R42" s="8">
        <v>7.0705782312925098</v>
      </c>
      <c r="S42" s="8">
        <v>3.125</v>
      </c>
      <c r="T42" s="10">
        <v>3</v>
      </c>
    </row>
    <row r="43" spans="1:20">
      <c r="A43" s="2"/>
      <c r="B43" s="1">
        <v>0.5</v>
      </c>
      <c r="C43" s="1">
        <v>1.2</v>
      </c>
      <c r="D43" s="1">
        <v>20</v>
      </c>
      <c r="E43" s="8">
        <v>0.22108843537414899</v>
      </c>
      <c r="F43" s="8">
        <v>1.8</v>
      </c>
      <c r="G43" s="8">
        <v>63.953999999999901</v>
      </c>
      <c r="H43" s="10">
        <v>3.6</v>
      </c>
      <c r="I43" s="8">
        <v>0.20620748299319699</v>
      </c>
      <c r="J43" s="8">
        <v>1.8</v>
      </c>
      <c r="K43" s="8">
        <v>63.911000000000001</v>
      </c>
      <c r="L43" s="10">
        <v>3.6</v>
      </c>
      <c r="M43" s="8">
        <v>2.2457076308784298</v>
      </c>
      <c r="N43" s="8">
        <v>3.7</v>
      </c>
      <c r="O43" s="8">
        <v>0.23299999999999901</v>
      </c>
      <c r="P43" s="10">
        <v>2.4</v>
      </c>
      <c r="Q43" s="8">
        <v>0.99702380952380898</v>
      </c>
      <c r="R43" s="8">
        <v>2.5</v>
      </c>
      <c r="S43" s="8">
        <v>1.0234999999999901</v>
      </c>
      <c r="T43" s="10">
        <v>3.6</v>
      </c>
    </row>
    <row r="44" spans="1:20" s="3" customFormat="1">
      <c r="A44" s="2"/>
      <c r="C44" s="3" t="s">
        <v>12</v>
      </c>
      <c r="D44" s="3">
        <f>AVERAGE(D40:D43)</f>
        <v>20</v>
      </c>
      <c r="E44" s="7">
        <f t="shared" ref="E44:N44" si="64">AVERAGE(E40:E43)</f>
        <v>1.1937053833894322</v>
      </c>
      <c r="F44" s="7">
        <f t="shared" si="64"/>
        <v>14.028821419824299</v>
      </c>
      <c r="G44" s="7">
        <f t="shared" si="64"/>
        <v>72.241624999999971</v>
      </c>
      <c r="H44" s="7">
        <f t="shared" si="64"/>
        <v>2.8</v>
      </c>
      <c r="I44" s="7">
        <f t="shared" si="64"/>
        <v>1.5591468865455043</v>
      </c>
      <c r="J44" s="7">
        <f t="shared" si="64"/>
        <v>14.284983436832047</v>
      </c>
      <c r="K44" s="7">
        <f t="shared" si="64"/>
        <v>73.321375000000003</v>
      </c>
      <c r="L44" s="7">
        <f t="shared" si="64"/>
        <v>2.65</v>
      </c>
      <c r="M44" s="7">
        <f t="shared" si="64"/>
        <v>7.816407450709125</v>
      </c>
      <c r="N44" s="7">
        <f t="shared" si="64"/>
        <v>19.370735171803513</v>
      </c>
      <c r="O44" s="7">
        <f>AVERAGE(O40:O43)</f>
        <v>0.21874999999999925</v>
      </c>
      <c r="P44" s="7">
        <f t="shared" ref="P44" si="65">AVERAGE(P40:P43)</f>
        <v>1</v>
      </c>
      <c r="Q44" s="7">
        <f t="shared" ref="Q44" si="66">AVERAGE(Q40:Q43)</f>
        <v>3.3336897679844348</v>
      </c>
      <c r="R44" s="7">
        <f t="shared" ref="R44" si="67">AVERAGE(R40:R43)</f>
        <v>15.726724772529552</v>
      </c>
      <c r="S44" s="7">
        <f t="shared" ref="S44" si="68">AVERAGE(S40:S43)</f>
        <v>4.7809999999999953</v>
      </c>
      <c r="T44" s="7">
        <f t="shared" ref="T44" si="69">AVERAGE(T40:T43)</f>
        <v>2.4500000000000002</v>
      </c>
    </row>
    <row r="45" spans="1:20">
      <c r="A45" s="2"/>
      <c r="B45" s="1">
        <v>1</v>
      </c>
      <c r="C45" s="1">
        <v>0.6</v>
      </c>
      <c r="D45" s="1">
        <v>20</v>
      </c>
      <c r="E45" s="8">
        <v>2.9180118551360099</v>
      </c>
      <c r="F45" s="8">
        <v>27.499023710202199</v>
      </c>
      <c r="G45" s="8">
        <v>83.229500000000002</v>
      </c>
      <c r="H45" s="10">
        <v>2.6</v>
      </c>
      <c r="I45" s="8">
        <v>3.9623050125189998</v>
      </c>
      <c r="J45" s="8">
        <v>28.353686906856201</v>
      </c>
      <c r="K45" s="8">
        <v>85.278499999999994</v>
      </c>
      <c r="L45" s="10">
        <v>2.2000000000000002</v>
      </c>
      <c r="M45" s="8">
        <v>13.5032385800979</v>
      </c>
      <c r="N45" s="8">
        <v>35.403689703995603</v>
      </c>
      <c r="O45" s="8">
        <v>0.21049999999999999</v>
      </c>
      <c r="P45" s="10">
        <v>0</v>
      </c>
      <c r="Q45" s="8">
        <v>4.6750976706472001</v>
      </c>
      <c r="R45" s="8">
        <v>28.753516436965199</v>
      </c>
      <c r="S45" s="8">
        <v>152.15350000000001</v>
      </c>
      <c r="T45" s="10">
        <v>1.6</v>
      </c>
    </row>
    <row r="46" spans="1:20">
      <c r="A46" s="2"/>
      <c r="B46" s="1">
        <v>1</v>
      </c>
      <c r="C46" s="1">
        <v>0.8</v>
      </c>
      <c r="D46" s="1">
        <v>20</v>
      </c>
      <c r="E46" s="8">
        <v>2.9789807607024601</v>
      </c>
      <c r="F46" s="8">
        <v>12.863676983091301</v>
      </c>
      <c r="G46" s="8">
        <v>75.447499999999906</v>
      </c>
      <c r="H46" s="10">
        <v>1.2</v>
      </c>
      <c r="I46" s="8">
        <v>2.84790253660098</v>
      </c>
      <c r="J46" s="8">
        <v>12.750548706803899</v>
      </c>
      <c r="K46" s="8">
        <v>79.644499999999994</v>
      </c>
      <c r="L46" s="10">
        <v>1</v>
      </c>
      <c r="M46" s="8">
        <v>4.9521682863851604</v>
      </c>
      <c r="N46" s="8">
        <v>14.3374935884652</v>
      </c>
      <c r="O46" s="8">
        <v>0.21149999999999899</v>
      </c>
      <c r="P46" s="10">
        <v>0.8</v>
      </c>
      <c r="Q46" s="8">
        <v>1.1675885268275199</v>
      </c>
      <c r="R46" s="8">
        <v>11.076079593452301</v>
      </c>
      <c r="S46" s="8">
        <v>1.1245000000000001</v>
      </c>
      <c r="T46" s="10">
        <v>3</v>
      </c>
    </row>
    <row r="47" spans="1:20">
      <c r="A47" s="2"/>
      <c r="B47" s="1">
        <v>1</v>
      </c>
      <c r="C47" s="1">
        <v>1</v>
      </c>
      <c r="D47" s="1">
        <v>20</v>
      </c>
      <c r="E47" s="8">
        <v>1.3330959135272</v>
      </c>
      <c r="F47" s="8">
        <v>3.8839285714285698</v>
      </c>
      <c r="G47" s="8">
        <v>65.897999999999996</v>
      </c>
      <c r="H47" s="10">
        <v>2.8</v>
      </c>
      <c r="I47" s="8">
        <v>1.2194595498908301</v>
      </c>
      <c r="J47" s="8">
        <v>3.7818877551020398</v>
      </c>
      <c r="K47" s="8">
        <v>63.573499999999903</v>
      </c>
      <c r="L47" s="10">
        <v>2.8</v>
      </c>
      <c r="M47" s="8">
        <v>2.6488231774669</v>
      </c>
      <c r="N47" s="8">
        <v>5.1105442176870701</v>
      </c>
      <c r="O47" s="8">
        <v>0.23649999999999999</v>
      </c>
      <c r="P47" s="10">
        <v>2.4</v>
      </c>
      <c r="Q47" s="8">
        <v>0</v>
      </c>
      <c r="R47" s="8">
        <v>2.6573129251700598</v>
      </c>
      <c r="S47" s="8">
        <v>0.89700000000000002</v>
      </c>
      <c r="T47" s="10">
        <v>4</v>
      </c>
    </row>
    <row r="48" spans="1:20">
      <c r="A48" s="2"/>
      <c r="B48" s="1">
        <v>1</v>
      </c>
      <c r="C48" s="1">
        <v>1.2</v>
      </c>
      <c r="D48" s="1">
        <v>20</v>
      </c>
      <c r="E48" s="8">
        <v>0</v>
      </c>
      <c r="F48" s="8">
        <v>0.5</v>
      </c>
      <c r="G48" s="8">
        <v>64.225499999999997</v>
      </c>
      <c r="H48" s="10">
        <v>4</v>
      </c>
      <c r="I48" s="8">
        <v>0</v>
      </c>
      <c r="J48" s="8">
        <v>0.5</v>
      </c>
      <c r="K48" s="8">
        <v>62.045999999999999</v>
      </c>
      <c r="L48" s="10">
        <v>4</v>
      </c>
      <c r="M48" s="8">
        <v>0.91250542770299603</v>
      </c>
      <c r="N48" s="8">
        <v>1.4</v>
      </c>
      <c r="O48" s="8">
        <v>0.24199999999999999</v>
      </c>
      <c r="P48" s="10">
        <v>2.8</v>
      </c>
      <c r="Q48" s="8">
        <v>0</v>
      </c>
      <c r="R48" s="8">
        <v>0.5</v>
      </c>
      <c r="S48" s="8">
        <v>0.92800000000000005</v>
      </c>
      <c r="T48" s="10">
        <v>4</v>
      </c>
    </row>
    <row r="49" spans="1:20" s="3" customFormat="1">
      <c r="A49" s="2"/>
      <c r="C49" s="3" t="s">
        <v>12</v>
      </c>
      <c r="D49" s="3">
        <f>AVERAGE(D45:D48)</f>
        <v>20</v>
      </c>
      <c r="E49" s="7">
        <f t="shared" ref="E49:K49" si="70">AVERAGE(E45:E48)</f>
        <v>1.8075221323414175</v>
      </c>
      <c r="F49" s="7">
        <f t="shared" si="70"/>
        <v>11.186657316180517</v>
      </c>
      <c r="G49" s="7">
        <f t="shared" si="70"/>
        <v>72.200124999999971</v>
      </c>
      <c r="H49" s="7">
        <f t="shared" si="70"/>
        <v>2.65</v>
      </c>
      <c r="I49" s="7">
        <f t="shared" si="70"/>
        <v>2.0074167747527025</v>
      </c>
      <c r="J49" s="7">
        <f t="shared" si="70"/>
        <v>11.346530842190536</v>
      </c>
      <c r="K49" s="7">
        <f t="shared" si="70"/>
        <v>72.635624999999976</v>
      </c>
      <c r="L49" s="7">
        <f>AVERAGE(L45:L48)</f>
        <v>2.5</v>
      </c>
      <c r="M49" s="7">
        <f t="shared" ref="M49" si="71">AVERAGE(M45:M48)</f>
        <v>5.5041838679132393</v>
      </c>
      <c r="N49" s="7">
        <f t="shared" ref="N49" si="72">AVERAGE(N45:N48)</f>
        <v>14.062931877536968</v>
      </c>
      <c r="O49" s="7">
        <f t="shared" ref="O49" si="73">AVERAGE(O45:O48)</f>
        <v>0.22512499999999974</v>
      </c>
      <c r="P49" s="7">
        <f t="shared" ref="P49" si="74">AVERAGE(P45:P48)</f>
        <v>1.5</v>
      </c>
      <c r="Q49" s="7">
        <f t="shared" ref="Q49" si="75">AVERAGE(Q45:Q48)</f>
        <v>1.4606715493686799</v>
      </c>
      <c r="R49" s="7">
        <f t="shared" ref="R49" si="76">AVERAGE(R45:R48)</f>
        <v>10.74672723889689</v>
      </c>
      <c r="S49" s="7">
        <f t="shared" ref="S49" si="77">AVERAGE(S45:S48)</f>
        <v>38.775750000000002</v>
      </c>
      <c r="T49" s="7">
        <f>AVERAGE(T45:T48)</f>
        <v>3.15</v>
      </c>
    </row>
    <row r="50" spans="1:20" s="3" customFormat="1">
      <c r="A50" s="2"/>
      <c r="B50" s="3" t="s">
        <v>12</v>
      </c>
      <c r="D50" s="3">
        <f>AVERAGE(D39,D44,D49)</f>
        <v>20</v>
      </c>
      <c r="E50" s="7">
        <f t="shared" ref="E50:O50" si="78">AVERAGE(E39,E44,E49)</f>
        <v>1.2119512847681853</v>
      </c>
      <c r="F50" s="7">
        <f t="shared" si="78"/>
        <v>10.884252570076001</v>
      </c>
      <c r="G50" s="7">
        <f t="shared" si="78"/>
        <v>70.810874999999967</v>
      </c>
      <c r="H50" s="7">
        <f t="shared" si="78"/>
        <v>2.9833333333333329</v>
      </c>
      <c r="I50" s="7">
        <f t="shared" si="78"/>
        <v>1.5851321539910366</v>
      </c>
      <c r="J50" s="7">
        <f t="shared" si="78"/>
        <v>11.164503302546564</v>
      </c>
      <c r="K50" s="7">
        <f t="shared" si="78"/>
        <v>71.06970833333331</v>
      </c>
      <c r="L50" s="7">
        <f t="shared" si="78"/>
        <v>2.7166666666666668</v>
      </c>
      <c r="M50" s="7">
        <f t="shared" si="78"/>
        <v>6.9208770535789244</v>
      </c>
      <c r="N50" s="7">
        <f t="shared" si="78"/>
        <v>15.465685854446198</v>
      </c>
      <c r="O50" s="7">
        <f t="shared" si="78"/>
        <v>0.22712499999999949</v>
      </c>
      <c r="P50" s="7">
        <f>AVERAGE(P39,P44,P49)</f>
        <v>1.3333333333333333</v>
      </c>
      <c r="Q50" s="7">
        <f t="shared" ref="Q50" si="79">AVERAGE(Q39,Q44,Q49)</f>
        <v>2.3969742266779726</v>
      </c>
      <c r="R50" s="7">
        <f t="shared" ref="R50" si="80">AVERAGE(R39,R44,R49)</f>
        <v>11.754471353355099</v>
      </c>
      <c r="S50" s="7">
        <f t="shared" ref="S50" si="81">AVERAGE(S39,S44,S49)</f>
        <v>27.380499999999998</v>
      </c>
      <c r="T50" s="7">
        <f t="shared" ref="T50" si="82">AVERAGE(T39,T44,T49)</f>
        <v>2.6500000000000004</v>
      </c>
    </row>
    <row r="51" spans="1:20" s="3" customFormat="1">
      <c r="A51" s="3" t="s">
        <v>12</v>
      </c>
      <c r="D51" s="3">
        <f>AVERAGE(D50,D34,D18)</f>
        <v>20</v>
      </c>
      <c r="E51" s="7">
        <f t="shared" ref="E51:L51" si="83">AVERAGE(E50,E34,E18)</f>
        <v>2.2352223725553055</v>
      </c>
      <c r="F51" s="7">
        <f t="shared" si="83"/>
        <v>18.184034021864139</v>
      </c>
      <c r="G51" s="7">
        <f t="shared" si="83"/>
        <v>72.838319444444423</v>
      </c>
      <c r="H51" s="7">
        <f t="shared" si="83"/>
        <v>2.8833333333333329</v>
      </c>
      <c r="I51" s="7">
        <f t="shared" si="83"/>
        <v>2.1204622653660077</v>
      </c>
      <c r="J51" s="7">
        <f t="shared" si="83"/>
        <v>18.075910781707922</v>
      </c>
      <c r="K51" s="7">
        <f t="shared" si="83"/>
        <v>102.17720833333328</v>
      </c>
      <c r="L51" s="7">
        <f t="shared" si="83"/>
        <v>2.8888888888888888</v>
      </c>
      <c r="M51" s="7">
        <f>AVERAGE(M50,M34,M18)</f>
        <v>16.774252467482793</v>
      </c>
      <c r="N51" s="7">
        <f t="shared" ref="N51" si="84">AVERAGE(N50,N34,N18)</f>
        <v>29.230861510903868</v>
      </c>
      <c r="O51" s="7">
        <f t="shared" ref="O51" si="85">AVERAGE(O50,O34,O18)</f>
        <v>0.21452777777777743</v>
      </c>
      <c r="P51" s="7">
        <f t="shared" ref="P51" si="86">AVERAGE(P50,P34,P18)</f>
        <v>0.62222222222222223</v>
      </c>
      <c r="Q51" s="7">
        <f t="shared" ref="Q51" si="87">AVERAGE(Q50,Q34,Q18)</f>
        <v>8.6752625930901015</v>
      </c>
      <c r="R51" s="7">
        <f t="shared" ref="R51" si="88">AVERAGE(R50,R34,R18)</f>
        <v>22.849148192988242</v>
      </c>
      <c r="S51" s="7">
        <f t="shared" ref="S51" si="89">AVERAGE(S50,S34,S18)</f>
        <v>58.565152777777712</v>
      </c>
      <c r="T51" s="7">
        <f>AVERAGE(T50,T34,T18)</f>
        <v>1.9333333333333333</v>
      </c>
    </row>
  </sheetData>
  <mergeCells count="7">
    <mergeCell ref="A35:A50"/>
    <mergeCell ref="E1:H1"/>
    <mergeCell ref="I1:L1"/>
    <mergeCell ref="M1:P1"/>
    <mergeCell ref="Q1:T1"/>
    <mergeCell ref="A3:A18"/>
    <mergeCell ref="A19:A34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beta_delta_ts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2022-04-26T17:17:48Z</dcterms:created>
  <dcterms:modified xsi:type="dcterms:W3CDTF">2022-04-26T17:44:22Z</dcterms:modified>
</cp:coreProperties>
</file>